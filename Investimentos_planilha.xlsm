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 Paes\Desktop\"/>
    </mc:Choice>
  </mc:AlternateContent>
  <xr:revisionPtr revIDLastSave="0" documentId="13_ncr:1_{BD7119A1-3C5D-40AD-827C-EF81E2D1DDF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vestimentos" sheetId="2" r:id="rId1"/>
  </sheets>
  <definedNames>
    <definedName name="custodia">Investimentos!$H$3:$M$45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2" l="1"/>
  <c r="L4" i="2"/>
  <c r="L5" i="2"/>
  <c r="L6" i="2"/>
  <c r="L7" i="2"/>
  <c r="F12" i="2"/>
  <c r="F11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L45" i="2" s="1"/>
  <c r="F10" i="2"/>
  <c r="H3" i="2" a="1"/>
  <c r="H3" i="2" s="1"/>
  <c r="I3" i="2" s="1"/>
  <c r="I8" i="2" l="1"/>
  <c r="I7" i="2"/>
  <c r="I6" i="2"/>
  <c r="I5" i="2"/>
  <c r="I4" i="2"/>
  <c r="M45" i="2"/>
  <c r="F35" i="2"/>
  <c r="F36" i="2"/>
  <c r="F37" i="2"/>
  <c r="F38" i="2"/>
  <c r="F39" i="2"/>
  <c r="F40" i="2"/>
  <c r="F41" i="2"/>
  <c r="F42" i="2"/>
  <c r="F43" i="2"/>
  <c r="F44" i="2"/>
  <c r="F45" i="2"/>
  <c r="F4" i="2"/>
  <c r="F5" i="2"/>
  <c r="F6" i="2"/>
  <c r="F7" i="2"/>
  <c r="F8" i="2"/>
  <c r="F9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" i="2"/>
  <c r="L19" i="2" l="1"/>
  <c r="M19" i="2"/>
  <c r="L29" i="2"/>
  <c r="M29" i="2"/>
  <c r="L34" i="2"/>
  <c r="M34" i="2"/>
  <c r="L18" i="2"/>
  <c r="M18" i="2"/>
  <c r="L44" i="2"/>
  <c r="M44" i="2"/>
  <c r="M35" i="2"/>
  <c r="L35" i="2"/>
  <c r="L33" i="2"/>
  <c r="M33" i="2"/>
  <c r="L17" i="2"/>
  <c r="M17" i="2"/>
  <c r="M16" i="2"/>
  <c r="L16" i="2"/>
  <c r="M15" i="2"/>
  <c r="L15" i="2"/>
  <c r="L14" i="2"/>
  <c r="M14" i="2"/>
  <c r="L13" i="2"/>
  <c r="M13" i="2"/>
  <c r="M31" i="2"/>
  <c r="L31" i="2"/>
  <c r="L12" i="2"/>
  <c r="M12" i="2"/>
  <c r="L27" i="2"/>
  <c r="M27" i="2"/>
  <c r="L11" i="2"/>
  <c r="M11" i="2"/>
  <c r="L10" i="2"/>
  <c r="M10" i="2"/>
  <c r="M32" i="2"/>
  <c r="L32" i="2"/>
  <c r="L28" i="2"/>
  <c r="M28" i="2"/>
  <c r="L26" i="2"/>
  <c r="M26" i="2"/>
  <c r="L41" i="2"/>
  <c r="M41" i="2"/>
  <c r="M25" i="2"/>
  <c r="L25" i="2"/>
  <c r="L9" i="2"/>
  <c r="M9" i="2"/>
  <c r="L24" i="2"/>
  <c r="M24" i="2"/>
  <c r="M8" i="2"/>
  <c r="L8" i="2"/>
  <c r="L30" i="2"/>
  <c r="M30" i="2"/>
  <c r="M40" i="2"/>
  <c r="L40" i="2"/>
  <c r="L22" i="2"/>
  <c r="M22" i="2"/>
  <c r="L43" i="2"/>
  <c r="M43" i="2"/>
  <c r="L42" i="2"/>
  <c r="M42" i="2"/>
  <c r="L39" i="2"/>
  <c r="M39" i="2"/>
  <c r="M23" i="2"/>
  <c r="L23" i="2"/>
  <c r="L38" i="2"/>
  <c r="M38" i="2"/>
  <c r="L37" i="2"/>
  <c r="M37" i="2"/>
  <c r="L21" i="2"/>
  <c r="M21" i="2"/>
  <c r="L36" i="2"/>
  <c r="M36" i="2"/>
  <c r="L20" i="2"/>
  <c r="M20" i="2"/>
  <c r="M3" i="2"/>
  <c r="M4" i="2"/>
  <c r="M7" i="2"/>
  <c r="M6" i="2"/>
  <c r="M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<sst xmlns="http://schemas.openxmlformats.org/spreadsheetml/2006/main" count="34" uniqueCount="18">
  <si>
    <t>TOTAL</t>
  </si>
  <si>
    <t>PAPEL</t>
  </si>
  <si>
    <t>NATUREZA</t>
  </si>
  <si>
    <t>VALOR</t>
  </si>
  <si>
    <t>URPR11</t>
  </si>
  <si>
    <t>AFHI11</t>
  </si>
  <si>
    <t>C</t>
  </si>
  <si>
    <t>DATA</t>
  </si>
  <si>
    <t>CUSTODIA</t>
  </si>
  <si>
    <t>QTD</t>
  </si>
  <si>
    <t>PROVENTO</t>
  </si>
  <si>
    <t>TOTAL PROVENTO</t>
  </si>
  <si>
    <t>TOTAL CUSTODIA</t>
  </si>
  <si>
    <t>KNIP11</t>
  </si>
  <si>
    <t>CPTS11</t>
  </si>
  <si>
    <t>GESE11B</t>
  </si>
  <si>
    <t>V</t>
  </si>
  <si>
    <t>NEGOCIAÇÕES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</si>
</sst>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dd/mm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0" fillId="4" borderId="0" xfId="0" applyFill="1"/>
    <xf numFmtId="0" fontId="2" fillId="2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1" xfId="1" applyFont="1" applyBorder="1" applyAlignment="1">
      <alignment horizontal="right" vertical="center"/>
    </xf>
    <xf numFmtId="7" fontId="0" fillId="0" borderId="1" xfId="0" applyNumberFormat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161"/>
      <color rgb="FFFFB9B9"/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</xdr:row>
      <xdr:rowOff>57150</xdr:rowOff>
    </xdr:from>
    <xdr:to>
      <xdr:col>13</xdr:col>
      <xdr:colOff>1352550</xdr:colOff>
      <xdr:row>3</xdr:row>
      <xdr:rowOff>104775</xdr:rowOff>
    </xdr:to>
    <xdr:sp macro="[0]!ColetarValorPape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F0DE6-6CD1-49E3-89F4-59869B86C795}"/>
            </a:ext>
          </a:extLst>
        </xdr:cNvPr>
        <xdr:cNvSpPr/>
      </xdr:nvSpPr>
      <xdr:spPr>
        <a:xfrm>
          <a:off x="8610600" y="295275"/>
          <a:ext cx="1143000" cy="4286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Coletar Valores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BFA6B-A7F4-4CA8-92B3-D26231F22241}">
  <sheetPr codeName="Planilha2"/>
  <dimension ref="A1:N46"/>
  <sheetViews>
    <sheetView tabSelected="1" workbookViewId="0">
      <selection activeCell="J12" sqref="J12"/>
    </sheetView>
  </sheetViews>
  <sheetFormatPr defaultColWidth="0" defaultRowHeight="15" zeroHeight="1" x14ac:dyDescent="0.25"/>
  <cols>
    <col min="1" max="1" width="10.7109375" customWidth="1"/>
    <col min="2" max="3" width="11.5703125" customWidth="1"/>
    <col min="4" max="4" width="4.7109375" bestFit="1" customWidth="1"/>
    <col min="5" max="5" width="13.140625" customWidth="1"/>
    <col min="6" max="6" width="14.5703125" customWidth="1"/>
    <col min="7" max="7" width="10.140625" style="1" customWidth="1"/>
    <col min="8" max="8" width="11.42578125" customWidth="1"/>
    <col min="9" max="9" width="5.85546875" bestFit="1" customWidth="1"/>
    <col min="10" max="10" width="14.28515625" customWidth="1"/>
    <col min="11" max="11" width="11.7109375" customWidth="1"/>
    <col min="12" max="12" width="16.7109375" customWidth="1"/>
    <col min="13" max="13" width="17.5703125" customWidth="1"/>
    <col min="14" max="14" width="23.140625" style="1" customWidth="1"/>
    <col min="15" max="16384" width="9.140625" hidden="1"/>
  </cols>
  <sheetData>
    <row r="1" spans="1:13" ht="18.75" x14ac:dyDescent="0.3">
      <c r="A1" s="9" t="s">
        <v>17</v>
      </c>
      <c r="B1" s="10"/>
      <c r="C1" s="10"/>
      <c r="D1" s="10"/>
      <c r="E1" s="10"/>
      <c r="F1" s="11"/>
      <c r="H1" s="12" t="s">
        <v>8</v>
      </c>
      <c r="I1" s="13"/>
      <c r="J1" s="13"/>
      <c r="K1" s="13"/>
      <c r="L1" s="13"/>
      <c r="M1" s="13"/>
    </row>
    <row r="2" spans="1:13" x14ac:dyDescent="0.25">
      <c r="A2" s="2" t="s">
        <v>7</v>
      </c>
      <c r="B2" s="2" t="s">
        <v>1</v>
      </c>
      <c r="C2" s="2" t="s">
        <v>2</v>
      </c>
      <c r="D2" s="2" t="s">
        <v>9</v>
      </c>
      <c r="E2" s="2" t="s">
        <v>3</v>
      </c>
      <c r="F2" s="2" t="s">
        <v>0</v>
      </c>
      <c r="H2" s="2" t="s">
        <v>1</v>
      </c>
      <c r="I2" s="2" t="s">
        <v>9</v>
      </c>
      <c r="J2" s="2" t="s">
        <v>3</v>
      </c>
      <c r="K2" s="2" t="s">
        <v>10</v>
      </c>
      <c r="L2" s="2" t="s">
        <v>12</v>
      </c>
      <c r="M2" s="2" t="s">
        <v>11</v>
      </c>
    </row>
    <row r="3" spans="1:13" x14ac:dyDescent="0.25">
      <c r="A3" s="3">
        <v>44573</v>
      </c>
      <c r="B3" s="4" t="s">
        <v>4</v>
      </c>
      <c r="C3" s="4" t="s">
        <v>6</v>
      </c>
      <c r="D3" s="5">
        <v>13</v>
      </c>
      <c r="E3" s="6">
        <v>117</v>
      </c>
      <c r="F3" s="7">
        <f>E3*D3</f>
        <v>1521</v>
      </c>
      <c r="H3" s="8" t="str" cm="1">
        <f t="array" ref="H3:H8">IF(_xlfn.UNIQUE(B3:B45)=0,"",_xlfn.UNIQUE(B3:B45))</f>
        <v>URPR11</v>
      </c>
      <c r="I3" s="5">
        <f>SUMIFS($D$3:$D$45,$B$3:$B$45,H3,$C$3:$C$45,"C")-SUMIFS($D$3:$D$45,$B$3:$B$45,H3,$C$3:$C$45,"V")</f>
        <v>18</v>
      </c>
      <c r="J3" s="7">
        <v>110.31</v>
      </c>
      <c r="K3" s="7">
        <v>1.84</v>
      </c>
      <c r="L3" s="7">
        <f t="shared" ref="L3:L45" si="0">J3*I3</f>
        <v>1985.58</v>
      </c>
      <c r="M3" s="7">
        <f>K3*I3</f>
        <v>33.120000000000005</v>
      </c>
    </row>
    <row r="4" spans="1:13" x14ac:dyDescent="0.25">
      <c r="A4" s="3">
        <v>44574</v>
      </c>
      <c r="B4" s="4" t="s">
        <v>5</v>
      </c>
      <c r="C4" s="4" t="s">
        <v>6</v>
      </c>
      <c r="D4" s="5">
        <v>10</v>
      </c>
      <c r="E4" s="6">
        <v>99.32</v>
      </c>
      <c r="F4" s="7">
        <f t="shared" ref="F4:F45" si="1">E4*D4</f>
        <v>993.19999999999993</v>
      </c>
      <c r="H4" s="4" t="str">
        <v>AFHI11</v>
      </c>
      <c r="I4" s="5">
        <f t="shared" ref="I4:I45" si="2">SUMIFS($D$3:$D$45,$B$3:$B$45,H4,$C$3:$C$45,"C")-SUMIFS($D$3:$D$45,$B$3:$B$45,H4,$C$3:$C$45,"V")</f>
        <v>10</v>
      </c>
      <c r="J4" s="7">
        <v>98.96</v>
      </c>
      <c r="K4" s="7">
        <v>1.35</v>
      </c>
      <c r="L4" s="7">
        <f t="shared" si="0"/>
        <v>989.59999999999991</v>
      </c>
      <c r="M4" s="7">
        <f t="shared" ref="M4:M45" si="3">K4*I4</f>
        <v>13.5</v>
      </c>
    </row>
    <row r="5" spans="1:13" x14ac:dyDescent="0.25">
      <c r="A5" s="3">
        <v>44622</v>
      </c>
      <c r="B5" s="4" t="s">
        <v>4</v>
      </c>
      <c r="C5" s="4" t="s">
        <v>6</v>
      </c>
      <c r="D5" s="5">
        <v>10</v>
      </c>
      <c r="E5" s="6">
        <v>117.2</v>
      </c>
      <c r="F5" s="7">
        <f t="shared" si="1"/>
        <v>1172</v>
      </c>
      <c r="H5" s="4" t="str">
        <v>KNIP11</v>
      </c>
      <c r="I5" s="5">
        <f t="shared" si="2"/>
        <v>24</v>
      </c>
      <c r="J5" s="7">
        <v>101.94</v>
      </c>
      <c r="K5" s="7">
        <v>1.7</v>
      </c>
      <c r="L5" s="7">
        <f t="shared" si="0"/>
        <v>2446.56</v>
      </c>
      <c r="M5" s="7">
        <f t="shared" si="3"/>
        <v>40.799999999999997</v>
      </c>
    </row>
    <row r="6" spans="1:13" x14ac:dyDescent="0.25">
      <c r="A6" s="3">
        <v>44625</v>
      </c>
      <c r="B6" s="4" t="s">
        <v>5</v>
      </c>
      <c r="C6" s="4" t="s">
        <v>6</v>
      </c>
      <c r="D6" s="5">
        <v>10</v>
      </c>
      <c r="E6" s="6">
        <v>100.21</v>
      </c>
      <c r="F6" s="7">
        <f t="shared" si="1"/>
        <v>1002.0999999999999</v>
      </c>
      <c r="H6" s="4" t="str">
        <v>CPTS11</v>
      </c>
      <c r="I6" s="5">
        <f t="shared" si="2"/>
        <v>17</v>
      </c>
      <c r="J6" s="7">
        <v>93.5</v>
      </c>
      <c r="K6" s="7">
        <v>1.08</v>
      </c>
      <c r="L6" s="7">
        <f t="shared" si="0"/>
        <v>1589.5</v>
      </c>
      <c r="M6" s="7">
        <f t="shared" si="3"/>
        <v>18.36</v>
      </c>
    </row>
    <row r="7" spans="1:13" x14ac:dyDescent="0.25">
      <c r="A7" s="3">
        <v>44691</v>
      </c>
      <c r="B7" s="4" t="s">
        <v>13</v>
      </c>
      <c r="C7" s="4" t="s">
        <v>6</v>
      </c>
      <c r="D7" s="5">
        <v>24</v>
      </c>
      <c r="E7" s="6">
        <v>101</v>
      </c>
      <c r="F7" s="7">
        <f t="shared" si="1"/>
        <v>2424</v>
      </c>
      <c r="H7" s="4" t="str">
        <v>GESE11B</v>
      </c>
      <c r="I7" s="5">
        <f t="shared" si="2"/>
        <v>0</v>
      </c>
      <c r="J7" s="7">
        <v>1516.15</v>
      </c>
      <c r="K7" s="7">
        <v>14</v>
      </c>
      <c r="L7" s="7">
        <f t="shared" si="0"/>
        <v>0</v>
      </c>
      <c r="M7" s="7">
        <f t="shared" si="3"/>
        <v>0</v>
      </c>
    </row>
    <row r="8" spans="1:13" x14ac:dyDescent="0.25">
      <c r="A8" s="3">
        <v>44692</v>
      </c>
      <c r="B8" s="4" t="s">
        <v>14</v>
      </c>
      <c r="C8" s="4" t="s">
        <v>6</v>
      </c>
      <c r="D8" s="5">
        <v>17</v>
      </c>
      <c r="E8" s="6">
        <v>93</v>
      </c>
      <c r="F8" s="7">
        <f t="shared" si="1"/>
        <v>1581</v>
      </c>
      <c r="H8" s="4" t="str">
        <v/>
      </c>
      <c r="I8" s="5">
        <f t="shared" si="2"/>
        <v>0</v>
      </c>
      <c r="J8" s="7"/>
      <c r="K8" s="7"/>
      <c r="L8" s="7">
        <f t="shared" si="0"/>
        <v>0</v>
      </c>
      <c r="M8" s="7">
        <f t="shared" si="3"/>
        <v>0</v>
      </c>
    </row>
    <row r="9" spans="1:13" x14ac:dyDescent="0.25">
      <c r="A9" s="3">
        <v>44693</v>
      </c>
      <c r="B9" s="4" t="s">
        <v>15</v>
      </c>
      <c r="C9" s="4" t="s">
        <v>6</v>
      </c>
      <c r="D9" s="5">
        <v>6</v>
      </c>
      <c r="E9" s="6">
        <v>1520</v>
      </c>
      <c r="F9" s="7">
        <f t="shared" si="1"/>
        <v>9120</v>
      </c>
      <c r="H9" s="4"/>
      <c r="I9" s="5">
        <f t="shared" si="2"/>
        <v>0</v>
      </c>
      <c r="J9" s="7"/>
      <c r="K9" s="7"/>
      <c r="L9" s="7">
        <f t="shared" si="0"/>
        <v>0</v>
      </c>
      <c r="M9" s="7">
        <f t="shared" si="3"/>
        <v>0</v>
      </c>
    </row>
    <row r="10" spans="1:13" x14ac:dyDescent="0.25">
      <c r="A10" s="3">
        <v>44693</v>
      </c>
      <c r="B10" s="4" t="s">
        <v>15</v>
      </c>
      <c r="C10" s="4" t="s">
        <v>16</v>
      </c>
      <c r="D10" s="5">
        <v>6</v>
      </c>
      <c r="E10" s="6">
        <v>1520</v>
      </c>
      <c r="F10" s="7">
        <f t="shared" ref="F10:F12" si="4">E10*D10</f>
        <v>9120</v>
      </c>
      <c r="H10" s="4"/>
      <c r="I10" s="5">
        <f t="shared" si="2"/>
        <v>0</v>
      </c>
      <c r="J10" s="7"/>
      <c r="K10" s="7"/>
      <c r="L10" s="7">
        <f t="shared" si="0"/>
        <v>0</v>
      </c>
      <c r="M10" s="7">
        <f t="shared" si="3"/>
        <v>0</v>
      </c>
    </row>
    <row r="11" spans="1:13" x14ac:dyDescent="0.25">
      <c r="A11" s="3">
        <v>44694</v>
      </c>
      <c r="B11" s="4" t="s">
        <v>4</v>
      </c>
      <c r="C11" s="4" t="s">
        <v>16</v>
      </c>
      <c r="D11" s="5">
        <v>5</v>
      </c>
      <c r="E11" s="6">
        <v>117.2</v>
      </c>
      <c r="F11" s="7">
        <f t="shared" si="4"/>
        <v>586</v>
      </c>
      <c r="H11" s="4"/>
      <c r="I11" s="5">
        <f t="shared" si="2"/>
        <v>0</v>
      </c>
      <c r="J11" s="7"/>
      <c r="K11" s="7"/>
      <c r="L11" s="7">
        <f t="shared" si="0"/>
        <v>0</v>
      </c>
      <c r="M11" s="7">
        <f t="shared" si="3"/>
        <v>0</v>
      </c>
    </row>
    <row r="12" spans="1:13" x14ac:dyDescent="0.25">
      <c r="A12" s="3">
        <v>44694</v>
      </c>
      <c r="B12" s="4" t="s">
        <v>5</v>
      </c>
      <c r="C12" s="4" t="s">
        <v>16</v>
      </c>
      <c r="D12" s="5">
        <v>10</v>
      </c>
      <c r="E12" s="6">
        <v>99.32</v>
      </c>
      <c r="F12" s="7">
        <f t="shared" si="4"/>
        <v>993.19999999999993</v>
      </c>
      <c r="H12" s="4"/>
      <c r="I12" s="5">
        <f t="shared" si="2"/>
        <v>0</v>
      </c>
      <c r="J12" s="7"/>
      <c r="K12" s="7"/>
      <c r="L12" s="7">
        <f t="shared" si="0"/>
        <v>0</v>
      </c>
      <c r="M12" s="7">
        <f t="shared" si="3"/>
        <v>0</v>
      </c>
    </row>
    <row r="13" spans="1:13" x14ac:dyDescent="0.25">
      <c r="A13" s="3"/>
      <c r="B13" s="4"/>
      <c r="C13" s="4"/>
      <c r="D13" s="5"/>
      <c r="E13" s="6"/>
      <c r="F13" s="7">
        <f t="shared" si="1"/>
        <v>0</v>
      </c>
      <c r="H13" s="4"/>
      <c r="I13" s="5">
        <f t="shared" si="2"/>
        <v>0</v>
      </c>
      <c r="J13" s="7"/>
      <c r="K13" s="7"/>
      <c r="L13" s="7">
        <f t="shared" si="0"/>
        <v>0</v>
      </c>
      <c r="M13" s="7">
        <f t="shared" si="3"/>
        <v>0</v>
      </c>
    </row>
    <row r="14" spans="1:13" x14ac:dyDescent="0.25">
      <c r="A14" s="3"/>
      <c r="B14" s="4"/>
      <c r="C14" s="4"/>
      <c r="D14" s="5"/>
      <c r="E14" s="6"/>
      <c r="F14" s="7">
        <f t="shared" si="1"/>
        <v>0</v>
      </c>
      <c r="H14" s="4"/>
      <c r="I14" s="5">
        <f t="shared" si="2"/>
        <v>0</v>
      </c>
      <c r="J14" s="7"/>
      <c r="K14" s="7"/>
      <c r="L14" s="7">
        <f t="shared" si="0"/>
        <v>0</v>
      </c>
      <c r="M14" s="7">
        <f t="shared" si="3"/>
        <v>0</v>
      </c>
    </row>
    <row r="15" spans="1:13" x14ac:dyDescent="0.25">
      <c r="A15" s="3"/>
      <c r="B15" s="4"/>
      <c r="C15" s="4"/>
      <c r="D15" s="5"/>
      <c r="E15" s="6"/>
      <c r="F15" s="7">
        <f t="shared" si="1"/>
        <v>0</v>
      </c>
      <c r="H15" s="4"/>
      <c r="I15" s="5">
        <f t="shared" si="2"/>
        <v>0</v>
      </c>
      <c r="J15" s="7"/>
      <c r="K15" s="7"/>
      <c r="L15" s="7">
        <f t="shared" si="0"/>
        <v>0</v>
      </c>
      <c r="M15" s="7">
        <f t="shared" si="3"/>
        <v>0</v>
      </c>
    </row>
    <row r="16" spans="1:13" x14ac:dyDescent="0.25">
      <c r="A16" s="3"/>
      <c r="B16" s="4"/>
      <c r="C16" s="4"/>
      <c r="D16" s="5"/>
      <c r="E16" s="6"/>
      <c r="F16" s="7">
        <f t="shared" si="1"/>
        <v>0</v>
      </c>
      <c r="H16" s="4"/>
      <c r="I16" s="5">
        <f t="shared" si="2"/>
        <v>0</v>
      </c>
      <c r="J16" s="7"/>
      <c r="K16" s="7"/>
      <c r="L16" s="7">
        <f t="shared" si="0"/>
        <v>0</v>
      </c>
      <c r="M16" s="7">
        <f t="shared" si="3"/>
        <v>0</v>
      </c>
    </row>
    <row r="17" spans="1:13" x14ac:dyDescent="0.25">
      <c r="A17" s="3"/>
      <c r="B17" s="4"/>
      <c r="C17" s="4"/>
      <c r="D17" s="5"/>
      <c r="E17" s="6"/>
      <c r="F17" s="7">
        <f t="shared" si="1"/>
        <v>0</v>
      </c>
      <c r="H17" s="4"/>
      <c r="I17" s="5">
        <f t="shared" si="2"/>
        <v>0</v>
      </c>
      <c r="J17" s="7"/>
      <c r="K17" s="7"/>
      <c r="L17" s="7">
        <f t="shared" si="0"/>
        <v>0</v>
      </c>
      <c r="M17" s="7">
        <f t="shared" si="3"/>
        <v>0</v>
      </c>
    </row>
    <row r="18" spans="1:13" x14ac:dyDescent="0.25">
      <c r="A18" s="3"/>
      <c r="B18" s="4"/>
      <c r="C18" s="4"/>
      <c r="D18" s="5"/>
      <c r="E18" s="6"/>
      <c r="F18" s="7">
        <f t="shared" si="1"/>
        <v>0</v>
      </c>
      <c r="H18" s="4"/>
      <c r="I18" s="5">
        <f t="shared" si="2"/>
        <v>0</v>
      </c>
      <c r="J18" s="7"/>
      <c r="K18" s="7"/>
      <c r="L18" s="7">
        <f t="shared" si="0"/>
        <v>0</v>
      </c>
      <c r="M18" s="7">
        <f t="shared" si="3"/>
        <v>0</v>
      </c>
    </row>
    <row r="19" spans="1:13" x14ac:dyDescent="0.25">
      <c r="A19" s="3"/>
      <c r="B19" s="4"/>
      <c r="C19" s="4"/>
      <c r="D19" s="5"/>
      <c r="E19" s="6"/>
      <c r="F19" s="7">
        <f t="shared" si="1"/>
        <v>0</v>
      </c>
      <c r="H19" s="4"/>
      <c r="I19" s="5">
        <f t="shared" si="2"/>
        <v>0</v>
      </c>
      <c r="J19" s="7"/>
      <c r="K19" s="7"/>
      <c r="L19" s="7">
        <f t="shared" si="0"/>
        <v>0</v>
      </c>
      <c r="M19" s="7">
        <f t="shared" si="3"/>
        <v>0</v>
      </c>
    </row>
    <row r="20" spans="1:13" x14ac:dyDescent="0.25">
      <c r="A20" s="3"/>
      <c r="B20" s="4"/>
      <c r="C20" s="4"/>
      <c r="D20" s="5"/>
      <c r="E20" s="6"/>
      <c r="F20" s="7">
        <f t="shared" si="1"/>
        <v>0</v>
      </c>
      <c r="H20" s="4"/>
      <c r="I20" s="5">
        <f t="shared" si="2"/>
        <v>0</v>
      </c>
      <c r="J20" s="7"/>
      <c r="K20" s="7"/>
      <c r="L20" s="7">
        <f t="shared" si="0"/>
        <v>0</v>
      </c>
      <c r="M20" s="7">
        <f t="shared" si="3"/>
        <v>0</v>
      </c>
    </row>
    <row r="21" spans="1:13" x14ac:dyDescent="0.25">
      <c r="A21" s="3"/>
      <c r="B21" s="4"/>
      <c r="C21" s="4"/>
      <c r="D21" s="5"/>
      <c r="E21" s="6"/>
      <c r="F21" s="7">
        <f t="shared" si="1"/>
        <v>0</v>
      </c>
      <c r="H21" s="4"/>
      <c r="I21" s="5">
        <f t="shared" si="2"/>
        <v>0</v>
      </c>
      <c r="J21" s="7"/>
      <c r="K21" s="7"/>
      <c r="L21" s="7">
        <f t="shared" si="0"/>
        <v>0</v>
      </c>
      <c r="M21" s="7">
        <f t="shared" si="3"/>
        <v>0</v>
      </c>
    </row>
    <row r="22" spans="1:13" x14ac:dyDescent="0.25">
      <c r="A22" s="3"/>
      <c r="B22" s="4"/>
      <c r="C22" s="4"/>
      <c r="D22" s="5"/>
      <c r="E22" s="6"/>
      <c r="F22" s="7">
        <f t="shared" si="1"/>
        <v>0</v>
      </c>
      <c r="H22" s="4"/>
      <c r="I22" s="5">
        <f t="shared" si="2"/>
        <v>0</v>
      </c>
      <c r="J22" s="7"/>
      <c r="K22" s="7"/>
      <c r="L22" s="7">
        <f t="shared" si="0"/>
        <v>0</v>
      </c>
      <c r="M22" s="7">
        <f t="shared" si="3"/>
        <v>0</v>
      </c>
    </row>
    <row r="23" spans="1:13" x14ac:dyDescent="0.25">
      <c r="A23" s="3"/>
      <c r="B23" s="4"/>
      <c r="C23" s="4"/>
      <c r="D23" s="5"/>
      <c r="E23" s="6"/>
      <c r="F23" s="7">
        <f t="shared" si="1"/>
        <v>0</v>
      </c>
      <c r="H23" s="4"/>
      <c r="I23" s="5">
        <f t="shared" si="2"/>
        <v>0</v>
      </c>
      <c r="J23" s="7"/>
      <c r="K23" s="7"/>
      <c r="L23" s="7">
        <f t="shared" si="0"/>
        <v>0</v>
      </c>
      <c r="M23" s="7">
        <f t="shared" si="3"/>
        <v>0</v>
      </c>
    </row>
    <row r="24" spans="1:13" x14ac:dyDescent="0.25">
      <c r="A24" s="3"/>
      <c r="B24" s="4"/>
      <c r="C24" s="4"/>
      <c r="D24" s="5"/>
      <c r="E24" s="6"/>
      <c r="F24" s="7">
        <f t="shared" si="1"/>
        <v>0</v>
      </c>
      <c r="H24" s="4"/>
      <c r="I24" s="5">
        <f t="shared" si="2"/>
        <v>0</v>
      </c>
      <c r="J24" s="7"/>
      <c r="K24" s="7"/>
      <c r="L24" s="7">
        <f t="shared" si="0"/>
        <v>0</v>
      </c>
      <c r="M24" s="7">
        <f t="shared" si="3"/>
        <v>0</v>
      </c>
    </row>
    <row r="25" spans="1:13" x14ac:dyDescent="0.25">
      <c r="A25" s="3"/>
      <c r="B25" s="4"/>
      <c r="C25" s="4"/>
      <c r="D25" s="5"/>
      <c r="E25" s="6"/>
      <c r="F25" s="7">
        <f t="shared" si="1"/>
        <v>0</v>
      </c>
      <c r="H25" s="4"/>
      <c r="I25" s="5">
        <f t="shared" si="2"/>
        <v>0</v>
      </c>
      <c r="J25" s="7"/>
      <c r="K25" s="7"/>
      <c r="L25" s="7">
        <f t="shared" si="0"/>
        <v>0</v>
      </c>
      <c r="M25" s="7">
        <f t="shared" si="3"/>
        <v>0</v>
      </c>
    </row>
    <row r="26" spans="1:13" x14ac:dyDescent="0.25">
      <c r="A26" s="3"/>
      <c r="B26" s="4"/>
      <c r="C26" s="4"/>
      <c r="D26" s="5"/>
      <c r="E26" s="6"/>
      <c r="F26" s="7">
        <f t="shared" si="1"/>
        <v>0</v>
      </c>
      <c r="H26" s="4"/>
      <c r="I26" s="5">
        <f t="shared" si="2"/>
        <v>0</v>
      </c>
      <c r="J26" s="7"/>
      <c r="K26" s="7"/>
      <c r="L26" s="7">
        <f t="shared" si="0"/>
        <v>0</v>
      </c>
      <c r="M26" s="7">
        <f t="shared" si="3"/>
        <v>0</v>
      </c>
    </row>
    <row r="27" spans="1:13" x14ac:dyDescent="0.25">
      <c r="A27" s="3"/>
      <c r="B27" s="4"/>
      <c r="C27" s="4"/>
      <c r="D27" s="5"/>
      <c r="E27" s="6"/>
      <c r="F27" s="7">
        <f t="shared" si="1"/>
        <v>0</v>
      </c>
      <c r="H27" s="4"/>
      <c r="I27" s="5">
        <f t="shared" si="2"/>
        <v>0</v>
      </c>
      <c r="J27" s="7"/>
      <c r="K27" s="7"/>
      <c r="L27" s="7">
        <f t="shared" si="0"/>
        <v>0</v>
      </c>
      <c r="M27" s="7">
        <f t="shared" si="3"/>
        <v>0</v>
      </c>
    </row>
    <row r="28" spans="1:13" x14ac:dyDescent="0.25">
      <c r="A28" s="3"/>
      <c r="B28" s="4"/>
      <c r="C28" s="4"/>
      <c r="D28" s="5"/>
      <c r="E28" s="6"/>
      <c r="F28" s="7">
        <f t="shared" si="1"/>
        <v>0</v>
      </c>
      <c r="H28" s="4"/>
      <c r="I28" s="5">
        <f t="shared" si="2"/>
        <v>0</v>
      </c>
      <c r="J28" s="7"/>
      <c r="K28" s="7"/>
      <c r="L28" s="7">
        <f t="shared" si="0"/>
        <v>0</v>
      </c>
      <c r="M28" s="7">
        <f t="shared" si="3"/>
        <v>0</v>
      </c>
    </row>
    <row r="29" spans="1:13" x14ac:dyDescent="0.25">
      <c r="A29" s="3"/>
      <c r="B29" s="4"/>
      <c r="C29" s="4"/>
      <c r="D29" s="5"/>
      <c r="E29" s="6"/>
      <c r="F29" s="7">
        <f t="shared" si="1"/>
        <v>0</v>
      </c>
      <c r="H29" s="4"/>
      <c r="I29" s="5">
        <f t="shared" si="2"/>
        <v>0</v>
      </c>
      <c r="J29" s="7"/>
      <c r="K29" s="7"/>
      <c r="L29" s="7">
        <f t="shared" si="0"/>
        <v>0</v>
      </c>
      <c r="M29" s="7">
        <f t="shared" si="3"/>
        <v>0</v>
      </c>
    </row>
    <row r="30" spans="1:13" x14ac:dyDescent="0.25">
      <c r="A30" s="3"/>
      <c r="B30" s="4"/>
      <c r="C30" s="4"/>
      <c r="D30" s="5"/>
      <c r="E30" s="6"/>
      <c r="F30" s="7">
        <f t="shared" si="1"/>
        <v>0</v>
      </c>
      <c r="H30" s="4"/>
      <c r="I30" s="5">
        <f t="shared" si="2"/>
        <v>0</v>
      </c>
      <c r="J30" s="7"/>
      <c r="K30" s="7"/>
      <c r="L30" s="7">
        <f t="shared" si="0"/>
        <v>0</v>
      </c>
      <c r="M30" s="7">
        <f t="shared" si="3"/>
        <v>0</v>
      </c>
    </row>
    <row r="31" spans="1:13" x14ac:dyDescent="0.25">
      <c r="A31" s="3"/>
      <c r="B31" s="4"/>
      <c r="C31" s="4"/>
      <c r="D31" s="5"/>
      <c r="E31" s="6"/>
      <c r="F31" s="7">
        <f t="shared" si="1"/>
        <v>0</v>
      </c>
      <c r="H31" s="4"/>
      <c r="I31" s="5">
        <f t="shared" si="2"/>
        <v>0</v>
      </c>
      <c r="J31" s="7"/>
      <c r="K31" s="7"/>
      <c r="L31" s="7">
        <f t="shared" si="0"/>
        <v>0</v>
      </c>
      <c r="M31" s="7">
        <f t="shared" si="3"/>
        <v>0</v>
      </c>
    </row>
    <row r="32" spans="1:13" x14ac:dyDescent="0.25">
      <c r="A32" s="3"/>
      <c r="B32" s="4"/>
      <c r="C32" s="4"/>
      <c r="D32" s="5"/>
      <c r="E32" s="6"/>
      <c r="F32" s="7">
        <f t="shared" si="1"/>
        <v>0</v>
      </c>
      <c r="H32" s="4"/>
      <c r="I32" s="5">
        <f t="shared" si="2"/>
        <v>0</v>
      </c>
      <c r="J32" s="7"/>
      <c r="K32" s="7"/>
      <c r="L32" s="7">
        <f t="shared" si="0"/>
        <v>0</v>
      </c>
      <c r="M32" s="7">
        <f t="shared" si="3"/>
        <v>0</v>
      </c>
    </row>
    <row r="33" spans="1:13" x14ac:dyDescent="0.25">
      <c r="A33" s="3"/>
      <c r="B33" s="4"/>
      <c r="C33" s="4"/>
      <c r="D33" s="5"/>
      <c r="E33" s="6"/>
      <c r="F33" s="7">
        <f t="shared" si="1"/>
        <v>0</v>
      </c>
      <c r="H33" s="4"/>
      <c r="I33" s="5">
        <f t="shared" si="2"/>
        <v>0</v>
      </c>
      <c r="J33" s="7"/>
      <c r="K33" s="7"/>
      <c r="L33" s="7">
        <f t="shared" si="0"/>
        <v>0</v>
      </c>
      <c r="M33" s="7">
        <f t="shared" si="3"/>
        <v>0</v>
      </c>
    </row>
    <row r="34" spans="1:13" x14ac:dyDescent="0.25">
      <c r="A34" s="3"/>
      <c r="B34" s="4"/>
      <c r="C34" s="4"/>
      <c r="D34" s="5"/>
      <c r="E34" s="6"/>
      <c r="F34" s="7">
        <f t="shared" si="1"/>
        <v>0</v>
      </c>
      <c r="H34" s="4"/>
      <c r="I34" s="5">
        <f t="shared" si="2"/>
        <v>0</v>
      </c>
      <c r="J34" s="7"/>
      <c r="K34" s="7"/>
      <c r="L34" s="7">
        <f t="shared" si="0"/>
        <v>0</v>
      </c>
      <c r="M34" s="7">
        <f t="shared" si="3"/>
        <v>0</v>
      </c>
    </row>
    <row r="35" spans="1:13" x14ac:dyDescent="0.25">
      <c r="A35" s="4"/>
      <c r="B35" s="4"/>
      <c r="C35" s="4"/>
      <c r="D35" s="4"/>
      <c r="E35" s="4"/>
      <c r="F35" s="7">
        <f t="shared" si="1"/>
        <v>0</v>
      </c>
      <c r="H35" s="4"/>
      <c r="I35" s="5">
        <f t="shared" si="2"/>
        <v>0</v>
      </c>
      <c r="J35" s="7"/>
      <c r="K35" s="7"/>
      <c r="L35" s="7">
        <f t="shared" si="0"/>
        <v>0</v>
      </c>
      <c r="M35" s="7">
        <f t="shared" si="3"/>
        <v>0</v>
      </c>
    </row>
    <row r="36" spans="1:13" x14ac:dyDescent="0.25">
      <c r="A36" s="4"/>
      <c r="B36" s="4"/>
      <c r="C36" s="4"/>
      <c r="D36" s="4"/>
      <c r="E36" s="4"/>
      <c r="F36" s="7">
        <f t="shared" si="1"/>
        <v>0</v>
      </c>
      <c r="H36" s="4"/>
      <c r="I36" s="5">
        <f t="shared" si="2"/>
        <v>0</v>
      </c>
      <c r="J36" s="7"/>
      <c r="K36" s="7"/>
      <c r="L36" s="7">
        <f t="shared" si="0"/>
        <v>0</v>
      </c>
      <c r="M36" s="7">
        <f t="shared" si="3"/>
        <v>0</v>
      </c>
    </row>
    <row r="37" spans="1:13" x14ac:dyDescent="0.25">
      <c r="A37" s="4"/>
      <c r="B37" s="4"/>
      <c r="C37" s="4"/>
      <c r="D37" s="4"/>
      <c r="E37" s="4"/>
      <c r="F37" s="7">
        <f t="shared" si="1"/>
        <v>0</v>
      </c>
      <c r="H37" s="4"/>
      <c r="I37" s="5">
        <f t="shared" si="2"/>
        <v>0</v>
      </c>
      <c r="J37" s="7"/>
      <c r="K37" s="7"/>
      <c r="L37" s="7">
        <f t="shared" si="0"/>
        <v>0</v>
      </c>
      <c r="M37" s="7">
        <f t="shared" si="3"/>
        <v>0</v>
      </c>
    </row>
    <row r="38" spans="1:13" x14ac:dyDescent="0.25">
      <c r="A38" s="4"/>
      <c r="B38" s="4"/>
      <c r="C38" s="4"/>
      <c r="D38" s="4"/>
      <c r="E38" s="4"/>
      <c r="F38" s="7">
        <f t="shared" si="1"/>
        <v>0</v>
      </c>
      <c r="H38" s="4"/>
      <c r="I38" s="5">
        <f t="shared" si="2"/>
        <v>0</v>
      </c>
      <c r="J38" s="7"/>
      <c r="K38" s="7"/>
      <c r="L38" s="7">
        <f t="shared" si="0"/>
        <v>0</v>
      </c>
      <c r="M38" s="7">
        <f t="shared" si="3"/>
        <v>0</v>
      </c>
    </row>
    <row r="39" spans="1:13" x14ac:dyDescent="0.25">
      <c r="A39" s="4"/>
      <c r="B39" s="4"/>
      <c r="C39" s="4"/>
      <c r="D39" s="4"/>
      <c r="E39" s="4"/>
      <c r="F39" s="7">
        <f t="shared" si="1"/>
        <v>0</v>
      </c>
      <c r="H39" s="4"/>
      <c r="I39" s="5">
        <f t="shared" si="2"/>
        <v>0</v>
      </c>
      <c r="J39" s="7"/>
      <c r="K39" s="7"/>
      <c r="L39" s="7">
        <f t="shared" si="0"/>
        <v>0</v>
      </c>
      <c r="M39" s="7">
        <f t="shared" si="3"/>
        <v>0</v>
      </c>
    </row>
    <row r="40" spans="1:13" x14ac:dyDescent="0.25">
      <c r="A40" s="4"/>
      <c r="B40" s="4"/>
      <c r="C40" s="4"/>
      <c r="D40" s="4"/>
      <c r="E40" s="4"/>
      <c r="F40" s="7">
        <f t="shared" si="1"/>
        <v>0</v>
      </c>
      <c r="H40" s="4"/>
      <c r="I40" s="5">
        <f t="shared" si="2"/>
        <v>0</v>
      </c>
      <c r="J40" s="7"/>
      <c r="K40" s="7"/>
      <c r="L40" s="7">
        <f t="shared" si="0"/>
        <v>0</v>
      </c>
      <c r="M40" s="7">
        <f t="shared" si="3"/>
        <v>0</v>
      </c>
    </row>
    <row r="41" spans="1:13" x14ac:dyDescent="0.25">
      <c r="A41" s="4"/>
      <c r="B41" s="4"/>
      <c r="C41" s="4"/>
      <c r="D41" s="4"/>
      <c r="E41" s="4"/>
      <c r="F41" s="7">
        <f t="shared" si="1"/>
        <v>0</v>
      </c>
      <c r="H41" s="4"/>
      <c r="I41" s="5">
        <f t="shared" si="2"/>
        <v>0</v>
      </c>
      <c r="J41" s="7"/>
      <c r="K41" s="7"/>
      <c r="L41" s="7">
        <f t="shared" si="0"/>
        <v>0</v>
      </c>
      <c r="M41" s="7">
        <f t="shared" si="3"/>
        <v>0</v>
      </c>
    </row>
    <row r="42" spans="1:13" x14ac:dyDescent="0.25">
      <c r="A42" s="4"/>
      <c r="B42" s="4"/>
      <c r="C42" s="4"/>
      <c r="D42" s="4"/>
      <c r="E42" s="4"/>
      <c r="F42" s="7">
        <f t="shared" si="1"/>
        <v>0</v>
      </c>
      <c r="H42" s="4"/>
      <c r="I42" s="5">
        <f t="shared" si="2"/>
        <v>0</v>
      </c>
      <c r="J42" s="7"/>
      <c r="K42" s="7"/>
      <c r="L42" s="7">
        <f t="shared" si="0"/>
        <v>0</v>
      </c>
      <c r="M42" s="7">
        <f t="shared" si="3"/>
        <v>0</v>
      </c>
    </row>
    <row r="43" spans="1:13" x14ac:dyDescent="0.25">
      <c r="A43" s="4"/>
      <c r="B43" s="4"/>
      <c r="C43" s="4"/>
      <c r="D43" s="4"/>
      <c r="E43" s="4"/>
      <c r="F43" s="7">
        <f t="shared" si="1"/>
        <v>0</v>
      </c>
      <c r="H43" s="4"/>
      <c r="I43" s="5">
        <f t="shared" si="2"/>
        <v>0</v>
      </c>
      <c r="J43" s="7"/>
      <c r="K43" s="7"/>
      <c r="L43" s="7">
        <f t="shared" si="0"/>
        <v>0</v>
      </c>
      <c r="M43" s="7">
        <f t="shared" si="3"/>
        <v>0</v>
      </c>
    </row>
    <row r="44" spans="1:13" x14ac:dyDescent="0.25">
      <c r="A44" s="4"/>
      <c r="B44" s="4"/>
      <c r="C44" s="4"/>
      <c r="D44" s="4"/>
      <c r="E44" s="4"/>
      <c r="F44" s="7">
        <f t="shared" si="1"/>
        <v>0</v>
      </c>
      <c r="H44" s="4"/>
      <c r="I44" s="5">
        <f t="shared" si="2"/>
        <v>0</v>
      </c>
      <c r="J44" s="7"/>
      <c r="K44" s="7"/>
      <c r="L44" s="7">
        <f t="shared" si="0"/>
        <v>0</v>
      </c>
      <c r="M44" s="7">
        <f t="shared" si="3"/>
        <v>0</v>
      </c>
    </row>
    <row r="45" spans="1:13" x14ac:dyDescent="0.25">
      <c r="A45" s="4"/>
      <c r="B45" s="4"/>
      <c r="C45" s="4"/>
      <c r="D45" s="4"/>
      <c r="E45" s="4"/>
      <c r="F45" s="7">
        <f t="shared" si="1"/>
        <v>0</v>
      </c>
      <c r="H45" s="4"/>
      <c r="I45" s="5">
        <f t="shared" si="2"/>
        <v>0</v>
      </c>
      <c r="J45" s="7"/>
      <c r="K45" s="7"/>
      <c r="L45" s="7">
        <f t="shared" si="0"/>
        <v>0</v>
      </c>
      <c r="M45" s="7">
        <f t="shared" si="3"/>
        <v>0</v>
      </c>
    </row>
    <row r="46" spans="1:13" ht="27.75" customHeight="1" x14ac:dyDescent="0.25">
      <c r="A46" s="1"/>
      <c r="B46" s="1"/>
      <c r="C46" s="1"/>
      <c r="D46" s="1"/>
      <c r="E46" s="1"/>
      <c r="F46" s="1"/>
      <c r="H46" s="1"/>
      <c r="I46" s="1"/>
      <c r="J46" s="1"/>
      <c r="K46" s="1"/>
      <c r="L46" s="1"/>
      <c r="M46" s="1"/>
    </row>
  </sheetData>
  <mergeCells count="2">
    <mergeCell ref="A1:F1"/>
    <mergeCell ref="H1:M1"/>
  </mergeCells>
  <phoneticPr fontId="4" type="noConversion"/>
  <dataValidations count="1">
    <dataValidation type="list" allowBlank="1" showInputMessage="1" showErrorMessage="1" sqref="C3:C45" xr:uid="{4A9FD600-F837-4C0E-9599-15643AE1C95D}">
      <formula1>"C,V"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M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Investimentos</vt:lpstr>
      <vt:lpstr>custodia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Investimentos</dc:title>
  <dc:creator>Lucas</dc:creator>
  <cp:keywords>Lucas Paes</cp:keywords>
  <cp:lastModifiedBy>Lucas Paes</cp:lastModifiedBy>
  <cp:lastPrinted>2022-05-23T23:31:56Z</cp:lastPrinted>
  <dcterms:created xsi:type="dcterms:W3CDTF">2019-01-28T01:59:17Z</dcterms:created>
  <dcterms:modified xsi:type="dcterms:W3CDTF">2022-05-24T00:32:24Z</dcterms:modified>
  <cp:category>Investimentos</cp:category>
  <cp:contentStatus>Pronto</cp:contentStatus>
</cp:coreProperties>
</file>